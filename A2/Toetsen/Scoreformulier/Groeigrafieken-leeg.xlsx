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eline\Desktop\"/>
    </mc:Choice>
  </mc:AlternateContent>
  <xr:revisionPtr revIDLastSave="0" documentId="8_{F158E89B-779D-4691-8BEE-941DB20DD9FF}" xr6:coauthVersionLast="47" xr6:coauthVersionMax="47" xr10:uidLastSave="{00000000-0000-0000-0000-000000000000}"/>
  <bookViews>
    <workbookView xWindow="0" yWindow="0" windowWidth="20490" windowHeight="7485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<sst xmlns="http://schemas.openxmlformats.org/spreadsheetml/2006/main" count="188" uniqueCount="33">
  <si>
    <t>Naam cursist</t>
  </si>
  <si>
    <t>Luisteren</t>
  </si>
  <si>
    <t>Schrijven</t>
  </si>
  <si>
    <t>Lezen</t>
  </si>
  <si>
    <t>Grammatica</t>
  </si>
  <si>
    <t>Spreken</t>
  </si>
  <si>
    <t>Deel</t>
  </si>
  <si>
    <t>Thema</t>
  </si>
  <si>
    <t>Score (%)</t>
  </si>
  <si>
    <t>Extra</t>
  </si>
  <si>
    <t>A1</t>
  </si>
  <si>
    <t>A1-1</t>
  </si>
  <si>
    <t>A1-2</t>
  </si>
  <si>
    <t>A1-3</t>
  </si>
  <si>
    <t>A1-4</t>
  </si>
  <si>
    <t>A1-5</t>
  </si>
  <si>
    <t>A1-6</t>
  </si>
  <si>
    <t>A1-7</t>
  </si>
  <si>
    <t>A1-8</t>
  </si>
  <si>
    <t>A2</t>
  </si>
  <si>
    <t>A2-1</t>
  </si>
  <si>
    <t>A2-2</t>
  </si>
  <si>
    <t>A2-3</t>
  </si>
  <si>
    <t>A2-4</t>
  </si>
  <si>
    <t>A2-5</t>
  </si>
  <si>
    <t>A2-6</t>
  </si>
  <si>
    <t>A2-7</t>
  </si>
  <si>
    <t>A2-8</t>
  </si>
  <si>
    <t>Scores van cursist:</t>
  </si>
  <si>
    <t>Onderdeel</t>
  </si>
  <si>
    <t>Score (percentage)</t>
  </si>
  <si>
    <t>Resultaten</t>
  </si>
  <si>
    <t>Streeflijn (67%)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</si>
</sst>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Protection="1"/>
    <xf numFmtId="0" fontId="1" fillId="0" borderId="0" xfId="0" applyFont="1" applyProtection="1"/>
    <xf numFmtId="0" fontId="3" fillId="0" borderId="0" xfId="0" applyFont="1" applyProtection="1"/>
    <xf numFmtId="0" fontId="0" fillId="0" borderId="1" xfId="0" applyBorder="1" applyProtection="1"/>
    <xf numFmtId="0" fontId="0" fillId="0" borderId="2" xfId="0" applyBorder="1" applyProtection="1"/>
    <xf numFmtId="0" fontId="0" fillId="0" borderId="3" xfId="0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workbookViewId="0">
      <selection activeCell="G16" sqref="G16"/>
    </sheetView>
  </sheetViews>
  <sheetFormatPr defaultRowHeight="15"/>
  <cols>
    <col min="1" max="1" width="9.85546875" style="7" customWidth="1"/>
    <col min="2" max="2" width="12.85546875" style="7" customWidth="1"/>
    <col min="3" max="3" width="9.140625" style="7"/>
    <col min="4" max="8" width="13" style="15" customWidth="1"/>
    <col min="9" max="9" width="0" style="7" hidden="1" customWidth="1"/>
    <col min="10" max="16384" width="9.140625" style="7"/>
  </cols>
  <sheetData>
    <row r="2" spans="2:9">
      <c r="B2" s="7" t="s">
        <v>0</v>
      </c>
      <c r="C2" s="13"/>
    </row>
    <row r="3" spans="2:9"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</row>
    <row r="4" spans="2:9">
      <c r="B4" s="7" t="s">
        <v>6</v>
      </c>
      <c r="C4" s="7" t="s">
        <v>7</v>
      </c>
      <c r="D4" s="15" t="s">
        <v>8</v>
      </c>
      <c r="E4" s="15" t="s">
        <v>8</v>
      </c>
      <c r="F4" s="15" t="s">
        <v>8</v>
      </c>
      <c r="G4" s="15" t="s">
        <v>8</v>
      </c>
      <c r="H4" s="15" t="s">
        <v>8</v>
      </c>
      <c r="I4" s="15" t="s">
        <v>9</v>
      </c>
    </row>
    <row r="5" spans="2:9" ht="17.25" customHeight="1">
      <c r="B5" s="7" t="s">
        <v>10</v>
      </c>
      <c r="C5" s="7" t="s">
        <v>11</v>
      </c>
      <c r="D5" s="14"/>
      <c r="E5" s="14"/>
      <c r="F5" s="14"/>
      <c r="G5" s="14"/>
      <c r="H5" s="14"/>
      <c r="I5" s="15">
        <v>0</v>
      </c>
    </row>
    <row r="6" spans="2:9" ht="17.25" customHeight="1">
      <c r="C6" s="7" t="s">
        <v>12</v>
      </c>
      <c r="D6" s="14"/>
      <c r="E6" s="14"/>
      <c r="F6" s="14"/>
      <c r="G6" s="14"/>
      <c r="H6" s="14"/>
      <c r="I6" s="15">
        <f>I5+5</f>
        <v>5</v>
      </c>
    </row>
    <row r="7" spans="2:9" ht="17.25" customHeight="1">
      <c r="C7" s="7" t="s">
        <v>13</v>
      </c>
      <c r="D7" s="14"/>
      <c r="E7" s="14"/>
      <c r="F7" s="14"/>
      <c r="G7" s="14"/>
      <c r="H7" s="14"/>
      <c r="I7" s="15">
        <f t="shared" ref="I7:I20" si="0">I6+5</f>
        <v>10</v>
      </c>
    </row>
    <row r="8" spans="2:9" ht="17.25" customHeight="1">
      <c r="C8" s="7" t="s">
        <v>14</v>
      </c>
      <c r="D8" s="14"/>
      <c r="E8" s="14"/>
      <c r="F8" s="14"/>
      <c r="G8" s="14"/>
      <c r="H8" s="14"/>
      <c r="I8" s="15">
        <f t="shared" si="0"/>
        <v>15</v>
      </c>
    </row>
    <row r="9" spans="2:9" ht="17.25" customHeight="1">
      <c r="C9" s="7" t="s">
        <v>15</v>
      </c>
      <c r="D9" s="14"/>
      <c r="E9" s="14"/>
      <c r="F9" s="14"/>
      <c r="G9" s="14"/>
      <c r="H9" s="14"/>
      <c r="I9" s="15">
        <f t="shared" si="0"/>
        <v>20</v>
      </c>
    </row>
    <row r="10" spans="2:9" ht="17.25" customHeight="1">
      <c r="C10" s="7" t="s">
        <v>16</v>
      </c>
      <c r="D10" s="14"/>
      <c r="E10" s="14"/>
      <c r="F10" s="14"/>
      <c r="G10" s="14"/>
      <c r="H10" s="14"/>
      <c r="I10" s="15">
        <f t="shared" si="0"/>
        <v>25</v>
      </c>
    </row>
    <row r="11" spans="2:9" ht="17.25" customHeight="1">
      <c r="C11" s="7" t="s">
        <v>17</v>
      </c>
      <c r="D11" s="14"/>
      <c r="E11" s="14"/>
      <c r="F11" s="14"/>
      <c r="G11" s="14"/>
      <c r="H11" s="14"/>
      <c r="I11" s="15">
        <f t="shared" si="0"/>
        <v>30</v>
      </c>
    </row>
    <row r="12" spans="2:9" ht="17.25" customHeight="1">
      <c r="C12" s="7" t="s">
        <v>18</v>
      </c>
      <c r="D12" s="14"/>
      <c r="E12" s="14"/>
      <c r="F12" s="14"/>
      <c r="G12" s="14"/>
      <c r="H12" s="14"/>
      <c r="I12" s="15">
        <f t="shared" si="0"/>
        <v>35</v>
      </c>
    </row>
    <row r="13" spans="2:9" ht="17.25" customHeight="1">
      <c r="B13" s="7" t="s">
        <v>19</v>
      </c>
      <c r="C13" s="7" t="s">
        <v>20</v>
      </c>
      <c r="D13" s="14"/>
      <c r="E13" s="14"/>
      <c r="F13" s="14"/>
      <c r="G13" s="14"/>
      <c r="H13" s="14"/>
      <c r="I13" s="15">
        <f t="shared" si="0"/>
        <v>40</v>
      </c>
    </row>
    <row r="14" spans="2:9" ht="17.25" customHeight="1">
      <c r="C14" s="7" t="s">
        <v>21</v>
      </c>
      <c r="D14" s="14"/>
      <c r="E14" s="14"/>
      <c r="F14" s="14"/>
      <c r="G14" s="14"/>
      <c r="H14" s="14"/>
      <c r="I14" s="15">
        <f t="shared" si="0"/>
        <v>45</v>
      </c>
    </row>
    <row r="15" spans="2:9" ht="17.25" customHeight="1">
      <c r="C15" s="7" t="s">
        <v>22</v>
      </c>
      <c r="D15" s="14"/>
      <c r="E15" s="14"/>
      <c r="F15" s="14"/>
      <c r="G15" s="14"/>
      <c r="H15" s="14"/>
      <c r="I15" s="15">
        <f t="shared" si="0"/>
        <v>50</v>
      </c>
    </row>
    <row r="16" spans="2:9" ht="17.25" customHeight="1">
      <c r="C16" s="7" t="s">
        <v>23</v>
      </c>
      <c r="D16" s="14"/>
      <c r="E16" s="14"/>
      <c r="F16" s="14"/>
      <c r="G16" s="14"/>
      <c r="H16" s="14"/>
      <c r="I16" s="15">
        <f t="shared" si="0"/>
        <v>55</v>
      </c>
    </row>
    <row r="17" spans="3:9" ht="17.25" customHeight="1">
      <c r="C17" s="7" t="s">
        <v>24</v>
      </c>
      <c r="D17" s="14"/>
      <c r="E17" s="14"/>
      <c r="F17" s="14"/>
      <c r="G17" s="14"/>
      <c r="H17" s="14"/>
      <c r="I17" s="15">
        <f t="shared" si="0"/>
        <v>60</v>
      </c>
    </row>
    <row r="18" spans="3:9" ht="17.25" customHeight="1">
      <c r="C18" s="7" t="s">
        <v>25</v>
      </c>
      <c r="D18" s="14"/>
      <c r="E18" s="14"/>
      <c r="F18" s="14"/>
      <c r="G18" s="14"/>
      <c r="H18" s="14"/>
      <c r="I18" s="15">
        <f t="shared" si="0"/>
        <v>65</v>
      </c>
    </row>
    <row r="19" spans="3:9" ht="17.25" customHeight="1">
      <c r="C19" s="7" t="s">
        <v>26</v>
      </c>
      <c r="D19" s="14"/>
      <c r="E19" s="14"/>
      <c r="F19" s="14"/>
      <c r="G19" s="14"/>
      <c r="H19" s="14"/>
      <c r="I19" s="15">
        <f t="shared" si="0"/>
        <v>70</v>
      </c>
    </row>
    <row r="20" spans="3:9" ht="17.25" customHeight="1">
      <c r="C20" s="7" t="s">
        <v>27</v>
      </c>
      <c r="D20" s="14"/>
      <c r="E20" s="14"/>
      <c r="F20" s="14"/>
      <c r="G20" s="14"/>
      <c r="H20" s="14"/>
      <c r="I20" s="15">
        <f t="shared" si="0"/>
        <v>75</v>
      </c>
    </row>
    <row r="21" spans="3:9" ht="17.25" customHeight="1">
      <c r="I21" s="15"/>
    </row>
    <row r="22" spans="3:9" ht="17.25" customHeight="1">
      <c r="I22" s="15"/>
    </row>
    <row r="23" spans="3:9" ht="17.25" customHeight="1">
      <c r="I23" s="15"/>
    </row>
    <row r="24" spans="3:9" ht="17.25" customHeight="1">
      <c r="I24" s="15"/>
    </row>
    <row r="25" spans="3:9" ht="17.25" customHeight="1">
      <c r="I25" s="15"/>
    </row>
    <row r="26" spans="3:9" ht="17.25" customHeight="1">
      <c r="I26" s="15"/>
    </row>
    <row r="27" spans="3:9" ht="17.25" customHeight="1">
      <c r="I27" s="15"/>
    </row>
    <row r="28" spans="3:9" ht="17.25" customHeight="1">
      <c r="I28" s="15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topLeftCell="A85" workbookViewId="0">
      <selection activeCell="C10" sqref="C10"/>
    </sheetView>
  </sheetViews>
  <sheetFormatPr defaultRowHeight="15"/>
  <sheetData>
    <row r="2" spans="1:4" s="5" customFormat="1" ht="21">
      <c r="C2" s="6" t="s">
        <v>28</v>
      </c>
      <c r="D2" s="5">
        <f>Scores!C2</f>
        <v>0</v>
      </c>
    </row>
    <row r="5" spans="1:4">
      <c r="C5" s="3" t="s">
        <v>1</v>
      </c>
    </row>
    <row r="6" spans="1:4">
      <c r="A6" s="2" t="s">
        <v>6</v>
      </c>
      <c r="B6" s="2" t="s">
        <v>7</v>
      </c>
      <c r="C6" s="4" t="s">
        <v>8</v>
      </c>
    </row>
    <row r="7" spans="1:4">
      <c r="A7" t="s">
        <v>10</v>
      </c>
      <c r="B7" t="s">
        <v>11</v>
      </c>
      <c r="C7" s="1">
        <f>Scores!D5</f>
        <v>0</v>
      </c>
    </row>
    <row r="8" spans="1:4">
      <c r="B8" t="s">
        <v>12</v>
      </c>
      <c r="C8" s="1">
        <f>Scores!D6</f>
        <v>0</v>
      </c>
    </row>
    <row r="9" spans="1:4">
      <c r="B9" t="s">
        <v>13</v>
      </c>
      <c r="C9" s="1">
        <f>Scores!D7</f>
        <v>0</v>
      </c>
    </row>
    <row r="10" spans="1:4">
      <c r="B10" t="s">
        <v>14</v>
      </c>
      <c r="C10" s="1">
        <f>Scores!D8</f>
        <v>0</v>
      </c>
    </row>
    <row r="11" spans="1:4">
      <c r="B11" t="s">
        <v>15</v>
      </c>
      <c r="C11" s="1">
        <f>Scores!D9</f>
        <v>0</v>
      </c>
    </row>
    <row r="12" spans="1:4">
      <c r="B12" t="s">
        <v>16</v>
      </c>
      <c r="C12" s="1">
        <f>Scores!D10</f>
        <v>0</v>
      </c>
    </row>
    <row r="13" spans="1:4">
      <c r="B13" t="s">
        <v>17</v>
      </c>
      <c r="C13" s="1">
        <f>Scores!D11</f>
        <v>0</v>
      </c>
    </row>
    <row r="14" spans="1:4">
      <c r="B14" t="s">
        <v>18</v>
      </c>
      <c r="C14" s="1">
        <f>Scores!D12</f>
        <v>0</v>
      </c>
    </row>
    <row r="15" spans="1:4">
      <c r="A15" t="s">
        <v>19</v>
      </c>
      <c r="B15" t="s">
        <v>20</v>
      </c>
      <c r="C15" s="1">
        <f>Scores!D13</f>
        <v>0</v>
      </c>
    </row>
    <row r="16" spans="1:4">
      <c r="B16" t="s">
        <v>21</v>
      </c>
      <c r="C16" s="1">
        <f>Scores!D14</f>
        <v>0</v>
      </c>
    </row>
    <row r="17" spans="1:3">
      <c r="B17" t="s">
        <v>22</v>
      </c>
      <c r="C17" s="1">
        <f>Scores!D15</f>
        <v>0</v>
      </c>
    </row>
    <row r="18" spans="1:3">
      <c r="B18" t="s">
        <v>23</v>
      </c>
      <c r="C18" s="1">
        <f>Scores!D16</f>
        <v>0</v>
      </c>
    </row>
    <row r="19" spans="1:3">
      <c r="B19" t="s">
        <v>24</v>
      </c>
      <c r="C19" s="1">
        <f>Scores!D17</f>
        <v>0</v>
      </c>
    </row>
    <row r="20" spans="1:3">
      <c r="B20" t="s">
        <v>25</v>
      </c>
      <c r="C20" s="1">
        <f>Scores!D18</f>
        <v>0</v>
      </c>
    </row>
    <row r="21" spans="1:3">
      <c r="B21" t="s">
        <v>26</v>
      </c>
      <c r="C21" s="1">
        <f>Scores!D19</f>
        <v>0</v>
      </c>
    </row>
    <row r="22" spans="1:3">
      <c r="B22" t="s">
        <v>27</v>
      </c>
      <c r="C22" s="1">
        <f>Scores!D20</f>
        <v>0</v>
      </c>
    </row>
    <row r="23" spans="1:3">
      <c r="C23" s="1"/>
    </row>
    <row r="24" spans="1:3">
      <c r="C24" s="1"/>
    </row>
    <row r="25" spans="1:3">
      <c r="C25" s="1"/>
    </row>
    <row r="26" spans="1:3">
      <c r="C26" s="1"/>
    </row>
    <row r="27" spans="1:3">
      <c r="C27" s="1"/>
    </row>
    <row r="28" spans="1:3">
      <c r="C28" s="1"/>
    </row>
    <row r="29" spans="1:3">
      <c r="C29" s="1"/>
    </row>
    <row r="31" spans="1:3">
      <c r="C31" s="3" t="s">
        <v>2</v>
      </c>
    </row>
    <row r="32" spans="1:3">
      <c r="A32" s="2" t="s">
        <v>6</v>
      </c>
      <c r="B32" s="2" t="s">
        <v>7</v>
      </c>
      <c r="C32" s="4" t="s">
        <v>8</v>
      </c>
    </row>
    <row r="33" spans="1:3">
      <c r="A33" t="s">
        <v>10</v>
      </c>
      <c r="B33" t="s">
        <v>11</v>
      </c>
      <c r="C33" s="1">
        <f>Scores!E5</f>
        <v>0</v>
      </c>
    </row>
    <row r="34" spans="1:3">
      <c r="B34" t="s">
        <v>12</v>
      </c>
      <c r="C34" s="1">
        <f>Scores!E6</f>
        <v>0</v>
      </c>
    </row>
    <row r="35" spans="1:3">
      <c r="B35" t="s">
        <v>13</v>
      </c>
      <c r="C35" s="1">
        <f>Scores!E7</f>
        <v>0</v>
      </c>
    </row>
    <row r="36" spans="1:3">
      <c r="B36" t="s">
        <v>14</v>
      </c>
      <c r="C36" s="1">
        <f>Scores!E8</f>
        <v>0</v>
      </c>
    </row>
    <row r="37" spans="1:3">
      <c r="B37" t="s">
        <v>15</v>
      </c>
      <c r="C37" s="1">
        <f>Scores!E9</f>
        <v>0</v>
      </c>
    </row>
    <row r="38" spans="1:3">
      <c r="B38" t="s">
        <v>16</v>
      </c>
      <c r="C38" s="1">
        <f>Scores!E10</f>
        <v>0</v>
      </c>
    </row>
    <row r="39" spans="1:3">
      <c r="B39" t="s">
        <v>17</v>
      </c>
      <c r="C39" s="1">
        <f>Scores!E11</f>
        <v>0</v>
      </c>
    </row>
    <row r="40" spans="1:3">
      <c r="B40" t="s">
        <v>18</v>
      </c>
      <c r="C40" s="1">
        <f>Scores!E12</f>
        <v>0</v>
      </c>
    </row>
    <row r="41" spans="1:3">
      <c r="A41" t="s">
        <v>19</v>
      </c>
      <c r="B41" t="s">
        <v>20</v>
      </c>
      <c r="C41" s="1">
        <f>Scores!E13</f>
        <v>0</v>
      </c>
    </row>
    <row r="42" spans="1:3">
      <c r="B42" t="s">
        <v>21</v>
      </c>
      <c r="C42" s="1">
        <f>Scores!E14</f>
        <v>0</v>
      </c>
    </row>
    <row r="43" spans="1:3">
      <c r="B43" t="s">
        <v>22</v>
      </c>
      <c r="C43" s="1">
        <f>Scores!E15</f>
        <v>0</v>
      </c>
    </row>
    <row r="44" spans="1:3">
      <c r="B44" t="s">
        <v>23</v>
      </c>
      <c r="C44" s="1">
        <f>Scores!E16</f>
        <v>0</v>
      </c>
    </row>
    <row r="45" spans="1:3">
      <c r="B45" t="s">
        <v>24</v>
      </c>
      <c r="C45" s="1">
        <f>Scores!E17</f>
        <v>0</v>
      </c>
    </row>
    <row r="46" spans="1:3">
      <c r="B46" t="s">
        <v>25</v>
      </c>
      <c r="C46" s="1">
        <f>Scores!E18</f>
        <v>0</v>
      </c>
    </row>
    <row r="47" spans="1:3">
      <c r="B47" t="s">
        <v>26</v>
      </c>
      <c r="C47" s="1">
        <f>Scores!E19</f>
        <v>0</v>
      </c>
    </row>
    <row r="48" spans="1:3">
      <c r="B48" t="s">
        <v>27</v>
      </c>
      <c r="C48" s="1">
        <f>Scores!E20</f>
        <v>0</v>
      </c>
    </row>
    <row r="57" spans="1:3">
      <c r="C57" s="3" t="s">
        <v>3</v>
      </c>
    </row>
    <row r="58" spans="1:3">
      <c r="A58" s="2" t="s">
        <v>6</v>
      </c>
      <c r="B58" s="2" t="s">
        <v>7</v>
      </c>
      <c r="C58" s="4" t="s">
        <v>8</v>
      </c>
    </row>
    <row r="59" spans="1:3">
      <c r="A59" t="s">
        <v>10</v>
      </c>
      <c r="B59" t="s">
        <v>11</v>
      </c>
      <c r="C59" s="1">
        <f>Scores!F5</f>
        <v>0</v>
      </c>
    </row>
    <row r="60" spans="1:3">
      <c r="B60" t="s">
        <v>12</v>
      </c>
      <c r="C60" s="1">
        <f>Scores!F6</f>
        <v>0</v>
      </c>
    </row>
    <row r="61" spans="1:3">
      <c r="B61" t="s">
        <v>13</v>
      </c>
      <c r="C61" s="1">
        <f>Scores!F7</f>
        <v>0</v>
      </c>
    </row>
    <row r="62" spans="1:3">
      <c r="B62" t="s">
        <v>14</v>
      </c>
      <c r="C62" s="1">
        <f>Scores!F8</f>
        <v>0</v>
      </c>
    </row>
    <row r="63" spans="1:3">
      <c r="B63" t="s">
        <v>15</v>
      </c>
      <c r="C63" s="1">
        <f>Scores!F9</f>
        <v>0</v>
      </c>
    </row>
    <row r="64" spans="1:3">
      <c r="B64" t="s">
        <v>16</v>
      </c>
      <c r="C64" s="1">
        <f>Scores!F10</f>
        <v>0</v>
      </c>
    </row>
    <row r="65" spans="1:3">
      <c r="B65" t="s">
        <v>17</v>
      </c>
      <c r="C65" s="1">
        <f>Scores!F11</f>
        <v>0</v>
      </c>
    </row>
    <row r="66" spans="1:3">
      <c r="B66" t="s">
        <v>18</v>
      </c>
      <c r="C66" s="1">
        <f>Scores!F12</f>
        <v>0</v>
      </c>
    </row>
    <row r="67" spans="1:3">
      <c r="A67" t="s">
        <v>19</v>
      </c>
      <c r="B67" t="s">
        <v>20</v>
      </c>
      <c r="C67" s="1">
        <f>Scores!F13</f>
        <v>0</v>
      </c>
    </row>
    <row r="68" spans="1:3">
      <c r="B68" t="s">
        <v>21</v>
      </c>
      <c r="C68" s="1">
        <f>Scores!F14</f>
        <v>0</v>
      </c>
    </row>
    <row r="69" spans="1:3">
      <c r="B69" t="s">
        <v>22</v>
      </c>
      <c r="C69" s="1">
        <f>Scores!F15</f>
        <v>0</v>
      </c>
    </row>
    <row r="70" spans="1:3">
      <c r="B70" t="s">
        <v>23</v>
      </c>
      <c r="C70" s="1">
        <f>Scores!F16</f>
        <v>0</v>
      </c>
    </row>
    <row r="71" spans="1:3">
      <c r="B71" t="s">
        <v>24</v>
      </c>
      <c r="C71" s="1">
        <f>Scores!F17</f>
        <v>0</v>
      </c>
    </row>
    <row r="72" spans="1:3">
      <c r="B72" t="s">
        <v>25</v>
      </c>
      <c r="C72" s="1">
        <f>Scores!F18</f>
        <v>0</v>
      </c>
    </row>
    <row r="73" spans="1:3">
      <c r="B73" t="s">
        <v>26</v>
      </c>
      <c r="C73" s="1">
        <f>Scores!F19</f>
        <v>0</v>
      </c>
    </row>
    <row r="74" spans="1:3">
      <c r="B74" t="s">
        <v>27</v>
      </c>
      <c r="C74" s="1">
        <f>Scores!F20</f>
        <v>0</v>
      </c>
    </row>
    <row r="75" spans="1:3">
      <c r="C75" s="1"/>
    </row>
    <row r="76" spans="1:3">
      <c r="C76" s="1"/>
    </row>
    <row r="77" spans="1:3">
      <c r="C77" s="1"/>
    </row>
    <row r="78" spans="1:3">
      <c r="C78" s="1"/>
    </row>
    <row r="79" spans="1:3">
      <c r="C79" s="1"/>
    </row>
    <row r="80" spans="1:3">
      <c r="C80" s="3" t="s">
        <v>4</v>
      </c>
    </row>
    <row r="81" spans="1:3">
      <c r="A81" s="2" t="s">
        <v>6</v>
      </c>
      <c r="B81" s="2" t="s">
        <v>7</v>
      </c>
      <c r="C81" s="4" t="s">
        <v>8</v>
      </c>
    </row>
    <row r="82" spans="1:3">
      <c r="A82" t="s">
        <v>10</v>
      </c>
      <c r="B82" t="s">
        <v>11</v>
      </c>
      <c r="C82" s="1">
        <f>Scores!G5</f>
        <v>0</v>
      </c>
    </row>
    <row r="83" spans="1:3">
      <c r="B83" t="s">
        <v>12</v>
      </c>
      <c r="C83" s="1">
        <f>Scores!G6</f>
        <v>0</v>
      </c>
    </row>
    <row r="84" spans="1:3">
      <c r="B84" t="s">
        <v>13</v>
      </c>
      <c r="C84" s="1">
        <f>Scores!G7</f>
        <v>0</v>
      </c>
    </row>
    <row r="85" spans="1:3">
      <c r="B85" t="s">
        <v>14</v>
      </c>
      <c r="C85" s="1">
        <f>Scores!G8</f>
        <v>0</v>
      </c>
    </row>
    <row r="86" spans="1:3">
      <c r="B86" t="s">
        <v>15</v>
      </c>
      <c r="C86" s="1">
        <f>Scores!G9</f>
        <v>0</v>
      </c>
    </row>
    <row r="87" spans="1:3">
      <c r="B87" t="s">
        <v>16</v>
      </c>
      <c r="C87" s="1">
        <f>Scores!G10</f>
        <v>0</v>
      </c>
    </row>
    <row r="88" spans="1:3">
      <c r="B88" t="s">
        <v>17</v>
      </c>
      <c r="C88" s="1">
        <f>Scores!G11</f>
        <v>0</v>
      </c>
    </row>
    <row r="89" spans="1:3">
      <c r="B89" t="s">
        <v>18</v>
      </c>
      <c r="C89" s="1">
        <f>Scores!G12</f>
        <v>0</v>
      </c>
    </row>
    <row r="90" spans="1:3">
      <c r="A90" t="s">
        <v>19</v>
      </c>
      <c r="B90" t="s">
        <v>20</v>
      </c>
      <c r="C90" s="1">
        <f>Scores!G13</f>
        <v>0</v>
      </c>
    </row>
    <row r="91" spans="1:3">
      <c r="B91" t="s">
        <v>21</v>
      </c>
      <c r="C91" s="1">
        <f>Scores!G14</f>
        <v>0</v>
      </c>
    </row>
    <row r="92" spans="1:3">
      <c r="B92" t="s">
        <v>22</v>
      </c>
      <c r="C92" s="1">
        <f>Scores!G15</f>
        <v>0</v>
      </c>
    </row>
    <row r="93" spans="1:3">
      <c r="B93" t="s">
        <v>23</v>
      </c>
      <c r="C93" s="1">
        <f>Scores!G16</f>
        <v>0</v>
      </c>
    </row>
    <row r="94" spans="1:3">
      <c r="B94" t="s">
        <v>24</v>
      </c>
      <c r="C94" s="1">
        <f>Scores!G17</f>
        <v>0</v>
      </c>
    </row>
    <row r="95" spans="1:3">
      <c r="B95" t="s">
        <v>25</v>
      </c>
      <c r="C95" s="1">
        <f>Scores!G18</f>
        <v>0</v>
      </c>
    </row>
    <row r="96" spans="1:3">
      <c r="B96" t="s">
        <v>26</v>
      </c>
      <c r="C96" s="1">
        <f>Scores!G19</f>
        <v>0</v>
      </c>
    </row>
    <row r="97" spans="1:3">
      <c r="B97" t="s">
        <v>27</v>
      </c>
      <c r="C97" s="1">
        <f>Scores!G20</f>
        <v>0</v>
      </c>
    </row>
    <row r="106" spans="1:3">
      <c r="C106" s="3" t="s">
        <v>5</v>
      </c>
    </row>
    <row r="107" spans="1:3">
      <c r="A107" s="2" t="s">
        <v>6</v>
      </c>
      <c r="B107" s="2" t="s">
        <v>7</v>
      </c>
      <c r="C107" s="4" t="s">
        <v>8</v>
      </c>
    </row>
    <row r="108" spans="1:3">
      <c r="A108" t="s">
        <v>10</v>
      </c>
      <c r="B108" t="s">
        <v>11</v>
      </c>
      <c r="C108" s="1">
        <f>Scores!H5</f>
        <v>0</v>
      </c>
    </row>
    <row r="109" spans="1:3">
      <c r="B109" t="s">
        <v>12</v>
      </c>
      <c r="C109" s="1">
        <f>Scores!H6</f>
        <v>0</v>
      </c>
    </row>
    <row r="110" spans="1:3">
      <c r="B110" t="s">
        <v>13</v>
      </c>
      <c r="C110" s="1">
        <f>Scores!H7</f>
        <v>0</v>
      </c>
    </row>
    <row r="111" spans="1:3">
      <c r="B111" t="s">
        <v>14</v>
      </c>
      <c r="C111" s="1">
        <f>Scores!H8</f>
        <v>0</v>
      </c>
    </row>
    <row r="112" spans="1:3">
      <c r="B112" t="s">
        <v>15</v>
      </c>
      <c r="C112" s="1">
        <f>Scores!H9</f>
        <v>0</v>
      </c>
    </row>
    <row r="113" spans="1:3">
      <c r="B113" t="s">
        <v>16</v>
      </c>
      <c r="C113" s="1">
        <f>Scores!H10</f>
        <v>0</v>
      </c>
    </row>
    <row r="114" spans="1:3">
      <c r="B114" t="s">
        <v>17</v>
      </c>
      <c r="C114" s="1">
        <f>Scores!H11</f>
        <v>0</v>
      </c>
    </row>
    <row r="115" spans="1:3">
      <c r="B115" t="s">
        <v>18</v>
      </c>
      <c r="C115" s="1">
        <f>Scores!H12</f>
        <v>0</v>
      </c>
    </row>
    <row r="116" spans="1:3">
      <c r="A116" t="s">
        <v>19</v>
      </c>
      <c r="B116" t="s">
        <v>20</v>
      </c>
      <c r="C116" s="1">
        <f>Scores!H13</f>
        <v>0</v>
      </c>
    </row>
    <row r="117" spans="1:3">
      <c r="B117" t="s">
        <v>21</v>
      </c>
      <c r="C117" s="1">
        <f>Scores!H14</f>
        <v>0</v>
      </c>
    </row>
    <row r="118" spans="1:3">
      <c r="B118" t="s">
        <v>22</v>
      </c>
      <c r="C118" s="1">
        <f>Scores!H15</f>
        <v>0</v>
      </c>
    </row>
    <row r="119" spans="1:3">
      <c r="B119" t="s">
        <v>23</v>
      </c>
      <c r="C119" s="1">
        <f>Scores!H16</f>
        <v>0</v>
      </c>
    </row>
    <row r="120" spans="1:3">
      <c r="B120" t="s">
        <v>24</v>
      </c>
      <c r="C120" s="1">
        <f>Scores!H17</f>
        <v>0</v>
      </c>
    </row>
    <row r="121" spans="1:3">
      <c r="B121" t="s">
        <v>25</v>
      </c>
      <c r="C121" s="1">
        <f>Scores!H18</f>
        <v>0</v>
      </c>
    </row>
    <row r="122" spans="1:3">
      <c r="B122" t="s">
        <v>26</v>
      </c>
      <c r="C122" s="1">
        <f>Scores!H19</f>
        <v>0</v>
      </c>
    </row>
    <row r="123" spans="1:3">
      <c r="B123" t="s">
        <v>27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/>
  <cols>
    <col min="1" max="1" width="9.140625" style="7"/>
    <col min="2" max="2" width="13.7109375" style="7" customWidth="1"/>
    <col min="3" max="3" width="9.140625" style="7"/>
    <col min="4" max="4" width="18" style="7" bestFit="1" customWidth="1"/>
    <col min="5" max="5" width="13.5703125" style="7" customWidth="1"/>
    <col min="6" max="6" width="15.42578125" style="7" customWidth="1"/>
    <col min="7" max="7" width="6.140625" style="7" customWidth="1"/>
    <col min="8" max="16384" width="9.140625" style="7"/>
  </cols>
  <sheetData>
    <row r="1" spans="1:6" ht="15.75">
      <c r="A1" s="17"/>
      <c r="B1" s="17"/>
      <c r="C1" s="17"/>
      <c r="D1" s="17"/>
    </row>
    <row r="2" spans="1:6">
      <c r="B2" s="7" t="s">
        <v>29</v>
      </c>
      <c r="C2" s="8" t="s">
        <v>1</v>
      </c>
    </row>
    <row r="4" spans="1:6" s="9" customFormat="1">
      <c r="B4" s="9" t="s">
        <v>6</v>
      </c>
      <c r="C4" s="9" t="s">
        <v>7</v>
      </c>
      <c r="D4" s="9" t="s">
        <v>30</v>
      </c>
      <c r="E4" s="9" t="s">
        <v>31</v>
      </c>
      <c r="F4" s="9" t="s">
        <v>32</v>
      </c>
    </row>
    <row r="5" spans="1:6">
      <c r="B5" s="10" t="s">
        <v>10</v>
      </c>
      <c r="C5" s="7" t="str">
        <f>Scores!C5</f>
        <v>A1-1</v>
      </c>
      <c r="D5" s="7">
        <f>Scores!D5</f>
        <v>0</v>
      </c>
      <c r="E5" s="7" t="e">
        <f>IF(D5&gt;0,D5+Scores!I5,NA())</f>
        <v>#N/A</v>
      </c>
      <c r="F5" s="7">
        <f>67+Scores!I5</f>
        <v>67</v>
      </c>
    </row>
    <row r="6" spans="1:6">
      <c r="B6" s="11"/>
      <c r="C6" s="7" t="str">
        <f>Scores!C6</f>
        <v>A1-2</v>
      </c>
      <c r="D6" s="7">
        <f>Scores!D6</f>
        <v>0</v>
      </c>
      <c r="E6" s="7" t="e">
        <f>IF(D6&gt;0,D6+Scores!I6,NA())</f>
        <v>#N/A</v>
      </c>
      <c r="F6" s="7">
        <f>$F$5+Scores!I6</f>
        <v>72</v>
      </c>
    </row>
    <row r="7" spans="1:6">
      <c r="B7" s="11"/>
      <c r="C7" s="7" t="str">
        <f>Scores!C7</f>
        <v>A1-3</v>
      </c>
      <c r="D7" s="7">
        <f>Scores!D7</f>
        <v>0</v>
      </c>
      <c r="E7" s="7" t="e">
        <f>IF(D7&gt;0,D7+Scores!I7,NA())</f>
        <v>#N/A</v>
      </c>
      <c r="F7" s="7">
        <f>$F$5+Scores!I7</f>
        <v>77</v>
      </c>
    </row>
    <row r="8" spans="1:6">
      <c r="B8" s="11"/>
      <c r="C8" s="7" t="str">
        <f>Scores!C8</f>
        <v>A1-4</v>
      </c>
      <c r="D8" s="7">
        <f>Scores!D8</f>
        <v>0</v>
      </c>
      <c r="E8" s="7" t="e">
        <f>IF(D8&gt;0,D8+Scores!I8,NA())</f>
        <v>#N/A</v>
      </c>
      <c r="F8" s="7">
        <f>$F$5+Scores!I8</f>
        <v>82</v>
      </c>
    </row>
    <row r="9" spans="1:6">
      <c r="B9" s="11"/>
      <c r="C9" s="7" t="str">
        <f>Scores!C9</f>
        <v>A1-5</v>
      </c>
      <c r="D9" s="7">
        <f>Scores!D9</f>
        <v>0</v>
      </c>
      <c r="E9" s="7" t="e">
        <f>IF(D9&gt;0,D9+Scores!I9,NA())</f>
        <v>#N/A</v>
      </c>
      <c r="F9" s="7">
        <f>$F$5+Scores!I9</f>
        <v>87</v>
      </c>
    </row>
    <row r="10" spans="1:6">
      <c r="B10" s="11"/>
      <c r="C10" s="7" t="str">
        <f>Scores!C10</f>
        <v>A1-6</v>
      </c>
      <c r="D10" s="7">
        <f>Scores!D10</f>
        <v>0</v>
      </c>
      <c r="E10" s="7" t="e">
        <f>IF(D10&gt;0,D10+Scores!I10,NA())</f>
        <v>#N/A</v>
      </c>
      <c r="F10" s="7">
        <f>$F$5+Scores!I10</f>
        <v>92</v>
      </c>
    </row>
    <row r="11" spans="1:6">
      <c r="B11" s="11"/>
      <c r="C11" s="7" t="str">
        <f>Scores!C11</f>
        <v>A1-7</v>
      </c>
      <c r="D11" s="7">
        <f>Scores!D11</f>
        <v>0</v>
      </c>
      <c r="E11" s="7" t="e">
        <f>IF(D11&gt;0,D11+Scores!I11,NA())</f>
        <v>#N/A</v>
      </c>
      <c r="F11" s="7">
        <f>$F$5+Scores!I11</f>
        <v>97</v>
      </c>
    </row>
    <row r="12" spans="1:6">
      <c r="B12" s="12"/>
      <c r="C12" s="7" t="str">
        <f>Scores!C12</f>
        <v>A1-8</v>
      </c>
      <c r="D12" s="7">
        <f>Scores!D12</f>
        <v>0</v>
      </c>
      <c r="E12" s="7" t="e">
        <f>IF(D12&gt;0,D12+Scores!I12,NA())</f>
        <v>#N/A</v>
      </c>
      <c r="F12" s="7">
        <f>$F$5+Scores!I12</f>
        <v>102</v>
      </c>
    </row>
    <row r="13" spans="1:6">
      <c r="B13" s="10" t="s">
        <v>19</v>
      </c>
      <c r="C13" s="7" t="str">
        <f>Scores!C13</f>
        <v>A2-1</v>
      </c>
      <c r="D13" s="7">
        <f>Scores!D13</f>
        <v>0</v>
      </c>
      <c r="E13" s="7" t="e">
        <f>IF(D13&gt;0,D13+Scores!I13,NA())</f>
        <v>#N/A</v>
      </c>
      <c r="F13" s="7">
        <f>$F$5+Scores!I13</f>
        <v>107</v>
      </c>
    </row>
    <row r="14" spans="1:6">
      <c r="B14" s="11"/>
      <c r="C14" s="7" t="str">
        <f>Scores!C14</f>
        <v>A2-2</v>
      </c>
      <c r="D14" s="7">
        <f>Scores!D14</f>
        <v>0</v>
      </c>
      <c r="E14" s="7" t="e">
        <f>IF(D14&gt;0,D14+Scores!I14,NA())</f>
        <v>#N/A</v>
      </c>
      <c r="F14" s="7">
        <f>$F$5+Scores!I14</f>
        <v>112</v>
      </c>
    </row>
    <row r="15" spans="1:6">
      <c r="B15" s="11"/>
      <c r="C15" s="7" t="str">
        <f>Scores!C15</f>
        <v>A2-3</v>
      </c>
      <c r="D15" s="7">
        <f>Scores!D15</f>
        <v>0</v>
      </c>
      <c r="E15" s="7" t="e">
        <f>IF(D15&gt;0,D15+Scores!I15,NA())</f>
        <v>#N/A</v>
      </c>
      <c r="F15" s="7">
        <f>$F$5+Scores!I15</f>
        <v>117</v>
      </c>
    </row>
    <row r="16" spans="1:6">
      <c r="B16" s="11"/>
      <c r="C16" s="7" t="str">
        <f>Scores!C16</f>
        <v>A2-4</v>
      </c>
      <c r="D16" s="7">
        <f>Scores!D16</f>
        <v>0</v>
      </c>
      <c r="E16" s="7" t="e">
        <f>IF(D16&gt;0,D16+Scores!I16,NA())</f>
        <v>#N/A</v>
      </c>
      <c r="F16" s="7">
        <f>$F$5+Scores!I16</f>
        <v>122</v>
      </c>
    </row>
    <row r="17" spans="2:6">
      <c r="B17" s="11"/>
      <c r="C17" s="7" t="str">
        <f>Scores!C17</f>
        <v>A2-5</v>
      </c>
      <c r="D17" s="7">
        <f>Scores!D17</f>
        <v>0</v>
      </c>
      <c r="E17" s="7" t="e">
        <f>IF(D17&gt;0,D17+Scores!I17,NA())</f>
        <v>#N/A</v>
      </c>
      <c r="F17" s="7">
        <f>$F$5+Scores!I17</f>
        <v>127</v>
      </c>
    </row>
    <row r="18" spans="2:6">
      <c r="B18" s="11"/>
      <c r="C18" s="7" t="str">
        <f>Scores!C18</f>
        <v>A2-6</v>
      </c>
      <c r="D18" s="7">
        <f>Scores!D18</f>
        <v>0</v>
      </c>
      <c r="E18" s="7" t="e">
        <f>IF(D18&gt;0,D18+Scores!I18,NA())</f>
        <v>#N/A</v>
      </c>
      <c r="F18" s="7">
        <f>$F$5+Scores!I18</f>
        <v>132</v>
      </c>
    </row>
    <row r="19" spans="2:6">
      <c r="B19" s="11"/>
      <c r="C19" s="7" t="str">
        <f>Scores!C19</f>
        <v>A2-7</v>
      </c>
      <c r="D19" s="7">
        <f>Scores!D19</f>
        <v>0</v>
      </c>
      <c r="E19" s="7" t="e">
        <f>IF(D19&gt;0,D19+Scores!I19,NA())</f>
        <v>#N/A</v>
      </c>
      <c r="F19" s="7">
        <f>$F$5+Scores!I19</f>
        <v>137</v>
      </c>
    </row>
    <row r="20" spans="2:6">
      <c r="B20" s="12"/>
      <c r="C20" s="7" t="str">
        <f>Scores!C20</f>
        <v>A2-8</v>
      </c>
      <c r="D20" s="7">
        <f>Scores!D20</f>
        <v>0</v>
      </c>
      <c r="E20" s="7" t="e">
        <f>IF(D20&gt;0,D20+Scores!I20,NA())</f>
        <v>#N/A</v>
      </c>
      <c r="F20" s="7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/>
  <cols>
    <col min="1" max="1" width="9.140625" style="7"/>
    <col min="2" max="2" width="13.7109375" style="7" customWidth="1"/>
    <col min="3" max="3" width="9.140625" style="7"/>
    <col min="4" max="4" width="18" style="7" bestFit="1" customWidth="1"/>
    <col min="5" max="5" width="13.5703125" style="7" customWidth="1"/>
    <col min="6" max="6" width="15.42578125" style="7" customWidth="1"/>
    <col min="7" max="7" width="6.140625" style="7" customWidth="1"/>
    <col min="8" max="16384" width="9.140625" style="7"/>
  </cols>
  <sheetData>
    <row r="1" spans="1:6" ht="15.75">
      <c r="A1" s="17"/>
      <c r="B1" s="17"/>
      <c r="C1" s="17"/>
      <c r="D1" s="17"/>
    </row>
    <row r="2" spans="1:6">
      <c r="B2" s="7" t="s">
        <v>29</v>
      </c>
      <c r="C2" s="8" t="s">
        <v>2</v>
      </c>
    </row>
    <row r="4" spans="1:6" s="9" customFormat="1">
      <c r="B4" s="9" t="s">
        <v>6</v>
      </c>
      <c r="C4" s="9" t="s">
        <v>7</v>
      </c>
      <c r="D4" s="9" t="s">
        <v>30</v>
      </c>
      <c r="E4" s="9" t="s">
        <v>31</v>
      </c>
      <c r="F4" s="9" t="s">
        <v>32</v>
      </c>
    </row>
    <row r="5" spans="1:6">
      <c r="B5" s="10" t="s">
        <v>10</v>
      </c>
      <c r="C5" s="7" t="str">
        <f>Scores!C5</f>
        <v>A1-1</v>
      </c>
      <c r="D5" s="7">
        <f>Scores!E5</f>
        <v>0</v>
      </c>
      <c r="E5" s="7" t="e">
        <f>IF(D5&gt;0,D5+Scores!I5,NA())</f>
        <v>#N/A</v>
      </c>
      <c r="F5" s="7">
        <f>67+Scores!I5</f>
        <v>67</v>
      </c>
    </row>
    <row r="6" spans="1:6">
      <c r="B6" s="11"/>
      <c r="C6" s="7" t="str">
        <f>Scores!C6</f>
        <v>A1-2</v>
      </c>
      <c r="D6" s="7">
        <f>Scores!E6</f>
        <v>0</v>
      </c>
      <c r="E6" s="7" t="e">
        <f>IF(D6&gt;0,D6+Scores!I6,NA())</f>
        <v>#N/A</v>
      </c>
      <c r="F6" s="7">
        <f>$F$5+Scores!I6</f>
        <v>72</v>
      </c>
    </row>
    <row r="7" spans="1:6">
      <c r="B7" s="11"/>
      <c r="C7" s="7" t="str">
        <f>Scores!C7</f>
        <v>A1-3</v>
      </c>
      <c r="D7" s="7">
        <f>Scores!E7</f>
        <v>0</v>
      </c>
      <c r="E7" s="7" t="e">
        <f>IF(D7&gt;0,D7+Scores!I7,NA())</f>
        <v>#N/A</v>
      </c>
      <c r="F7" s="7">
        <f>$F$5+Scores!I7</f>
        <v>77</v>
      </c>
    </row>
    <row r="8" spans="1:6">
      <c r="B8" s="11"/>
      <c r="C8" s="7" t="str">
        <f>Scores!C8</f>
        <v>A1-4</v>
      </c>
      <c r="D8" s="7">
        <f>Scores!E8</f>
        <v>0</v>
      </c>
      <c r="E8" s="7" t="e">
        <f>IF(D8&gt;0,D8+Scores!I8,NA())</f>
        <v>#N/A</v>
      </c>
      <c r="F8" s="7">
        <f>$F$5+Scores!I8</f>
        <v>82</v>
      </c>
    </row>
    <row r="9" spans="1:6">
      <c r="B9" s="11"/>
      <c r="C9" s="7" t="str">
        <f>Scores!C9</f>
        <v>A1-5</v>
      </c>
      <c r="D9" s="7">
        <f>Scores!E9</f>
        <v>0</v>
      </c>
      <c r="E9" s="7" t="e">
        <f>IF(D9&gt;0,D9+Scores!I9,NA())</f>
        <v>#N/A</v>
      </c>
      <c r="F9" s="7">
        <f>$F$5+Scores!I9</f>
        <v>87</v>
      </c>
    </row>
    <row r="10" spans="1:6">
      <c r="B10" s="11"/>
      <c r="C10" s="7" t="str">
        <f>Scores!C10</f>
        <v>A1-6</v>
      </c>
      <c r="D10" s="7">
        <f>Scores!E10</f>
        <v>0</v>
      </c>
      <c r="E10" s="7" t="e">
        <f>IF(D10&gt;0,D10+Scores!I10,NA())</f>
        <v>#N/A</v>
      </c>
      <c r="F10" s="7">
        <f>$F$5+Scores!I10</f>
        <v>92</v>
      </c>
    </row>
    <row r="11" spans="1:6">
      <c r="B11" s="11"/>
      <c r="C11" s="7" t="str">
        <f>Scores!C11</f>
        <v>A1-7</v>
      </c>
      <c r="D11" s="7">
        <f>Scores!E11</f>
        <v>0</v>
      </c>
      <c r="E11" s="7" t="e">
        <f>IF(D11&gt;0,D11+Scores!I11,NA())</f>
        <v>#N/A</v>
      </c>
      <c r="F11" s="7">
        <f>$F$5+Scores!I11</f>
        <v>97</v>
      </c>
    </row>
    <row r="12" spans="1:6">
      <c r="B12" s="12"/>
      <c r="C12" s="7" t="str">
        <f>Scores!C12</f>
        <v>A1-8</v>
      </c>
      <c r="D12" s="7">
        <f>Scores!E12</f>
        <v>0</v>
      </c>
      <c r="E12" s="7" t="e">
        <f>IF(D12&gt;0,D12+Scores!I12,NA())</f>
        <v>#N/A</v>
      </c>
      <c r="F12" s="7">
        <f>$F$5+Scores!I12</f>
        <v>102</v>
      </c>
    </row>
    <row r="13" spans="1:6">
      <c r="B13" s="10" t="s">
        <v>19</v>
      </c>
      <c r="C13" s="7" t="str">
        <f>Scores!C13</f>
        <v>A2-1</v>
      </c>
      <c r="D13" s="7">
        <f>Scores!E13</f>
        <v>0</v>
      </c>
      <c r="E13" s="7" t="e">
        <f>IF(D13&gt;0,D13+Scores!I13,NA())</f>
        <v>#N/A</v>
      </c>
      <c r="F13" s="7">
        <f>$F$5+Scores!I13</f>
        <v>107</v>
      </c>
    </row>
    <row r="14" spans="1:6">
      <c r="B14" s="11"/>
      <c r="C14" s="7" t="str">
        <f>Scores!C14</f>
        <v>A2-2</v>
      </c>
      <c r="D14" s="7">
        <f>Scores!E14</f>
        <v>0</v>
      </c>
      <c r="E14" s="7" t="e">
        <f>IF(D14&gt;0,D14+Scores!I14,NA())</f>
        <v>#N/A</v>
      </c>
      <c r="F14" s="7">
        <f>$F$5+Scores!I14</f>
        <v>112</v>
      </c>
    </row>
    <row r="15" spans="1:6">
      <c r="B15" s="11"/>
      <c r="C15" s="7" t="str">
        <f>Scores!C15</f>
        <v>A2-3</v>
      </c>
      <c r="D15" s="7">
        <f>Scores!E15</f>
        <v>0</v>
      </c>
      <c r="E15" s="7" t="e">
        <f>IF(D15&gt;0,D15+Scores!I15,NA())</f>
        <v>#N/A</v>
      </c>
      <c r="F15" s="7">
        <f>$F$5+Scores!I15</f>
        <v>117</v>
      </c>
    </row>
    <row r="16" spans="1:6">
      <c r="B16" s="11"/>
      <c r="C16" s="7" t="str">
        <f>Scores!C16</f>
        <v>A2-4</v>
      </c>
      <c r="D16" s="7">
        <f>Scores!E16</f>
        <v>0</v>
      </c>
      <c r="E16" s="7" t="e">
        <f>IF(D16&gt;0,D16+Scores!I16,NA())</f>
        <v>#N/A</v>
      </c>
      <c r="F16" s="7">
        <f>$F$5+Scores!I16</f>
        <v>122</v>
      </c>
    </row>
    <row r="17" spans="2:6">
      <c r="B17" s="11"/>
      <c r="C17" s="7" t="str">
        <f>Scores!C17</f>
        <v>A2-5</v>
      </c>
      <c r="D17" s="7">
        <f>Scores!E17</f>
        <v>0</v>
      </c>
      <c r="E17" s="7" t="e">
        <f>IF(D17&gt;0,D17+Scores!I17,NA())</f>
        <v>#N/A</v>
      </c>
      <c r="F17" s="7">
        <f>$F$5+Scores!I17</f>
        <v>127</v>
      </c>
    </row>
    <row r="18" spans="2:6">
      <c r="B18" s="11"/>
      <c r="C18" s="7" t="str">
        <f>Scores!C18</f>
        <v>A2-6</v>
      </c>
      <c r="D18" s="7">
        <f>Scores!E18</f>
        <v>0</v>
      </c>
      <c r="E18" s="7" t="e">
        <f>IF(D18&gt;0,D18+Scores!I18,NA())</f>
        <v>#N/A</v>
      </c>
      <c r="F18" s="7">
        <f>$F$5+Scores!I18</f>
        <v>132</v>
      </c>
    </row>
    <row r="19" spans="2:6">
      <c r="B19" s="11"/>
      <c r="C19" s="7" t="str">
        <f>Scores!C19</f>
        <v>A2-7</v>
      </c>
      <c r="D19" s="7">
        <f>Scores!E19</f>
        <v>0</v>
      </c>
      <c r="E19" s="7" t="e">
        <f>IF(D19&gt;0,D19+Scores!I19,NA())</f>
        <v>#N/A</v>
      </c>
      <c r="F19" s="7">
        <f>$F$5+Scores!I19</f>
        <v>137</v>
      </c>
    </row>
    <row r="20" spans="2:6">
      <c r="B20" s="12"/>
      <c r="C20" s="7" t="str">
        <f>Scores!C20</f>
        <v>A2-8</v>
      </c>
      <c r="D20" s="7">
        <f>Scores!E20</f>
        <v>0</v>
      </c>
      <c r="E20" s="7" t="e">
        <f>IF(D20&gt;0,D20+Scores!I20,NA())</f>
        <v>#N/A</v>
      </c>
      <c r="F20" s="7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/>
  <cols>
    <col min="1" max="1" width="9.140625" style="7"/>
    <col min="2" max="2" width="13.7109375" style="7" customWidth="1"/>
    <col min="3" max="3" width="9.140625" style="7"/>
    <col min="4" max="4" width="18" style="7" bestFit="1" customWidth="1"/>
    <col min="5" max="5" width="13.5703125" style="7" customWidth="1"/>
    <col min="6" max="6" width="15.42578125" style="7" customWidth="1"/>
    <col min="7" max="7" width="6.140625" style="7" customWidth="1"/>
    <col min="8" max="16384" width="9.140625" style="7"/>
  </cols>
  <sheetData>
    <row r="1" spans="1:6" ht="15.75">
      <c r="A1" s="17"/>
      <c r="B1" s="17"/>
      <c r="C1" s="17"/>
      <c r="D1" s="17"/>
    </row>
    <row r="2" spans="1:6">
      <c r="B2" s="7" t="s">
        <v>29</v>
      </c>
      <c r="C2" s="8" t="s">
        <v>3</v>
      </c>
    </row>
    <row r="4" spans="1:6" s="9" customFormat="1">
      <c r="B4" s="9" t="s">
        <v>6</v>
      </c>
      <c r="C4" s="9" t="s">
        <v>7</v>
      </c>
      <c r="D4" s="9" t="s">
        <v>30</v>
      </c>
      <c r="E4" s="9" t="s">
        <v>31</v>
      </c>
      <c r="F4" s="9" t="s">
        <v>32</v>
      </c>
    </row>
    <row r="5" spans="1:6">
      <c r="B5" s="10" t="s">
        <v>10</v>
      </c>
      <c r="C5" s="7" t="str">
        <f>Scores!C5</f>
        <v>A1-1</v>
      </c>
      <c r="D5" s="7">
        <f>Scores!F5</f>
        <v>0</v>
      </c>
      <c r="E5" s="7" t="e">
        <f>IF(D5&gt;0,D5+Scores!I5,NA())</f>
        <v>#N/A</v>
      </c>
      <c r="F5" s="7">
        <f>67+Scores!I5</f>
        <v>67</v>
      </c>
    </row>
    <row r="6" spans="1:6">
      <c r="B6" s="11"/>
      <c r="C6" s="7" t="str">
        <f>Scores!C6</f>
        <v>A1-2</v>
      </c>
      <c r="D6" s="7">
        <f>Scores!F6</f>
        <v>0</v>
      </c>
      <c r="E6" s="7" t="e">
        <f>IF(D6&gt;0,D6+Scores!I6,NA())</f>
        <v>#N/A</v>
      </c>
      <c r="F6" s="7">
        <f>$F$5+Scores!I6</f>
        <v>72</v>
      </c>
    </row>
    <row r="7" spans="1:6">
      <c r="B7" s="11"/>
      <c r="C7" s="7" t="str">
        <f>Scores!C7</f>
        <v>A1-3</v>
      </c>
      <c r="D7" s="7">
        <f>Scores!F7</f>
        <v>0</v>
      </c>
      <c r="E7" s="7" t="e">
        <f>IF(D7&gt;0,D7+Scores!I7,NA())</f>
        <v>#N/A</v>
      </c>
      <c r="F7" s="7">
        <f>$F$5+Scores!I7</f>
        <v>77</v>
      </c>
    </row>
    <row r="8" spans="1:6">
      <c r="B8" s="11"/>
      <c r="C8" s="7" t="str">
        <f>Scores!C8</f>
        <v>A1-4</v>
      </c>
      <c r="D8" s="7">
        <f>Scores!F8</f>
        <v>0</v>
      </c>
      <c r="E8" s="7" t="e">
        <f>IF(D8&gt;0,D8+Scores!I8,NA())</f>
        <v>#N/A</v>
      </c>
      <c r="F8" s="7">
        <f>$F$5+Scores!I8</f>
        <v>82</v>
      </c>
    </row>
    <row r="9" spans="1:6">
      <c r="B9" s="11"/>
      <c r="C9" s="7" t="str">
        <f>Scores!C9</f>
        <v>A1-5</v>
      </c>
      <c r="D9" s="7">
        <f>Scores!F9</f>
        <v>0</v>
      </c>
      <c r="E9" s="7" t="e">
        <f>IF(D9&gt;0,D9+Scores!I9,NA())</f>
        <v>#N/A</v>
      </c>
      <c r="F9" s="7">
        <f>$F$5+Scores!I9</f>
        <v>87</v>
      </c>
    </row>
    <row r="10" spans="1:6">
      <c r="B10" s="11"/>
      <c r="C10" s="7" t="str">
        <f>Scores!C10</f>
        <v>A1-6</v>
      </c>
      <c r="D10" s="7">
        <f>Scores!F10</f>
        <v>0</v>
      </c>
      <c r="E10" s="7" t="e">
        <f>IF(D10&gt;0,D10+Scores!I10,NA())</f>
        <v>#N/A</v>
      </c>
      <c r="F10" s="7">
        <f>$F$5+Scores!I10</f>
        <v>92</v>
      </c>
    </row>
    <row r="11" spans="1:6">
      <c r="B11" s="11"/>
      <c r="C11" s="7" t="str">
        <f>Scores!C11</f>
        <v>A1-7</v>
      </c>
      <c r="D11" s="7">
        <f>Scores!F11</f>
        <v>0</v>
      </c>
      <c r="E11" s="7" t="e">
        <f>IF(D11&gt;0,D11+Scores!I11,NA())</f>
        <v>#N/A</v>
      </c>
      <c r="F11" s="7">
        <f>$F$5+Scores!I11</f>
        <v>97</v>
      </c>
    </row>
    <row r="12" spans="1:6">
      <c r="B12" s="12"/>
      <c r="C12" s="7" t="str">
        <f>Scores!C12</f>
        <v>A1-8</v>
      </c>
      <c r="D12" s="7">
        <f>Scores!F12</f>
        <v>0</v>
      </c>
      <c r="E12" s="7" t="e">
        <f>IF(D12&gt;0,D12+Scores!I12,NA())</f>
        <v>#N/A</v>
      </c>
      <c r="F12" s="7">
        <f>$F$5+Scores!I12</f>
        <v>102</v>
      </c>
    </row>
    <row r="13" spans="1:6">
      <c r="B13" s="10" t="s">
        <v>19</v>
      </c>
      <c r="C13" s="7" t="str">
        <f>Scores!C13</f>
        <v>A2-1</v>
      </c>
      <c r="D13" s="7">
        <f>Scores!F13</f>
        <v>0</v>
      </c>
      <c r="E13" s="7" t="e">
        <f>IF(D13&gt;0,D13+Scores!I13,NA())</f>
        <v>#N/A</v>
      </c>
      <c r="F13" s="7">
        <f>$F$5+Scores!I13</f>
        <v>107</v>
      </c>
    </row>
    <row r="14" spans="1:6">
      <c r="B14" s="11"/>
      <c r="C14" s="7" t="str">
        <f>Scores!C14</f>
        <v>A2-2</v>
      </c>
      <c r="D14" s="7">
        <f>Scores!F14</f>
        <v>0</v>
      </c>
      <c r="E14" s="7" t="e">
        <f>IF(D14&gt;0,D14+Scores!I14,NA())</f>
        <v>#N/A</v>
      </c>
      <c r="F14" s="7">
        <f>$F$5+Scores!I14</f>
        <v>112</v>
      </c>
    </row>
    <row r="15" spans="1:6">
      <c r="B15" s="11"/>
      <c r="C15" s="7" t="str">
        <f>Scores!C15</f>
        <v>A2-3</v>
      </c>
      <c r="D15" s="7">
        <f>Scores!F15</f>
        <v>0</v>
      </c>
      <c r="E15" s="7" t="e">
        <f>IF(D15&gt;0,D15+Scores!I15,NA())</f>
        <v>#N/A</v>
      </c>
      <c r="F15" s="7">
        <f>$F$5+Scores!I15</f>
        <v>117</v>
      </c>
    </row>
    <row r="16" spans="1:6">
      <c r="B16" s="11"/>
      <c r="C16" s="7" t="str">
        <f>Scores!C16</f>
        <v>A2-4</v>
      </c>
      <c r="D16" s="7">
        <f>Scores!F16</f>
        <v>0</v>
      </c>
      <c r="E16" s="7" t="e">
        <f>IF(D16&gt;0,D16+Scores!I16,NA())</f>
        <v>#N/A</v>
      </c>
      <c r="F16" s="7">
        <f>$F$5+Scores!I16</f>
        <v>122</v>
      </c>
    </row>
    <row r="17" spans="2:6">
      <c r="B17" s="11"/>
      <c r="C17" s="7" t="str">
        <f>Scores!C17</f>
        <v>A2-5</v>
      </c>
      <c r="D17" s="7">
        <f>Scores!F17</f>
        <v>0</v>
      </c>
      <c r="E17" s="7" t="e">
        <f>IF(D17&gt;0,D17+Scores!I17,NA())</f>
        <v>#N/A</v>
      </c>
      <c r="F17" s="7">
        <f>$F$5+Scores!I17</f>
        <v>127</v>
      </c>
    </row>
    <row r="18" spans="2:6">
      <c r="B18" s="11"/>
      <c r="C18" s="7" t="str">
        <f>Scores!C18</f>
        <v>A2-6</v>
      </c>
      <c r="D18" s="7">
        <f>Scores!F18</f>
        <v>0</v>
      </c>
      <c r="E18" s="7" t="e">
        <f>IF(D18&gt;0,D18+Scores!I18,NA())</f>
        <v>#N/A</v>
      </c>
      <c r="F18" s="7">
        <f>$F$5+Scores!I18</f>
        <v>132</v>
      </c>
    </row>
    <row r="19" spans="2:6">
      <c r="B19" s="11"/>
      <c r="C19" s="7" t="str">
        <f>Scores!C19</f>
        <v>A2-7</v>
      </c>
      <c r="D19" s="7">
        <f>Scores!F19</f>
        <v>0</v>
      </c>
      <c r="E19" s="7" t="e">
        <f>IF(D19&gt;0,D19+Scores!I19,NA())</f>
        <v>#N/A</v>
      </c>
      <c r="F19" s="7">
        <f>$F$5+Scores!I19</f>
        <v>137</v>
      </c>
    </row>
    <row r="20" spans="2:6">
      <c r="B20" s="12"/>
      <c r="C20" s="7" t="str">
        <f>Scores!C20</f>
        <v>A2-8</v>
      </c>
      <c r="D20" s="7">
        <f>Scores!F20</f>
        <v>0</v>
      </c>
      <c r="E20" s="7" t="e">
        <f>IF(D20&gt;0,D20+Scores!I20,NA())</f>
        <v>#N/A</v>
      </c>
      <c r="F20" s="7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/>
  <cols>
    <col min="1" max="1" width="9.140625" style="7"/>
    <col min="2" max="2" width="13.7109375" style="7" customWidth="1"/>
    <col min="3" max="3" width="9.140625" style="7"/>
    <col min="4" max="4" width="18" style="7" bestFit="1" customWidth="1"/>
    <col min="5" max="5" width="13.5703125" style="7" customWidth="1"/>
    <col min="6" max="6" width="15.42578125" style="7" customWidth="1"/>
    <col min="7" max="7" width="6.140625" style="7" customWidth="1"/>
    <col min="8" max="16384" width="9.140625" style="7"/>
  </cols>
  <sheetData>
    <row r="1" spans="1:6" ht="15.75">
      <c r="A1" s="17"/>
      <c r="B1" s="17"/>
      <c r="C1" s="17"/>
      <c r="D1" s="17"/>
    </row>
    <row r="2" spans="1:6">
      <c r="B2" s="7" t="s">
        <v>29</v>
      </c>
      <c r="C2" s="8" t="s">
        <v>4</v>
      </c>
    </row>
    <row r="4" spans="1:6" s="9" customFormat="1">
      <c r="B4" s="9" t="s">
        <v>6</v>
      </c>
      <c r="C4" s="9" t="s">
        <v>7</v>
      </c>
      <c r="D4" s="9" t="s">
        <v>30</v>
      </c>
      <c r="E4" s="9" t="s">
        <v>31</v>
      </c>
      <c r="F4" s="9" t="s">
        <v>32</v>
      </c>
    </row>
    <row r="5" spans="1:6">
      <c r="B5" s="10" t="s">
        <v>10</v>
      </c>
      <c r="C5" s="7" t="str">
        <f>Scores!C5</f>
        <v>A1-1</v>
      </c>
      <c r="D5" s="7">
        <f>Scores!G5</f>
        <v>0</v>
      </c>
      <c r="E5" s="7" t="e">
        <f>IF(D5&gt;0,D5+Scores!I5,NA())</f>
        <v>#N/A</v>
      </c>
      <c r="F5" s="7">
        <f>67+Scores!I5</f>
        <v>67</v>
      </c>
    </row>
    <row r="6" spans="1:6">
      <c r="B6" s="11"/>
      <c r="C6" s="7" t="str">
        <f>Scores!C6</f>
        <v>A1-2</v>
      </c>
      <c r="D6" s="7">
        <f>Scores!G6</f>
        <v>0</v>
      </c>
      <c r="E6" s="7" t="e">
        <f>IF(D6&gt;0,D6+Scores!I6,NA())</f>
        <v>#N/A</v>
      </c>
      <c r="F6" s="7">
        <f>$F$5+Scores!I6</f>
        <v>72</v>
      </c>
    </row>
    <row r="7" spans="1:6">
      <c r="B7" s="11"/>
      <c r="C7" s="7" t="str">
        <f>Scores!C7</f>
        <v>A1-3</v>
      </c>
      <c r="D7" s="7">
        <f>Scores!G7</f>
        <v>0</v>
      </c>
      <c r="E7" s="7" t="e">
        <f>IF(D7&gt;0,D7+Scores!I7,NA())</f>
        <v>#N/A</v>
      </c>
      <c r="F7" s="7">
        <f>$F$5+Scores!I7</f>
        <v>77</v>
      </c>
    </row>
    <row r="8" spans="1:6">
      <c r="B8" s="11"/>
      <c r="C8" s="7" t="str">
        <f>Scores!C8</f>
        <v>A1-4</v>
      </c>
      <c r="D8" s="7">
        <f>Scores!G8</f>
        <v>0</v>
      </c>
      <c r="E8" s="7" t="e">
        <f>IF(D8&gt;0,D8+Scores!I8,NA())</f>
        <v>#N/A</v>
      </c>
      <c r="F8" s="7">
        <f>$F$5+Scores!I8</f>
        <v>82</v>
      </c>
    </row>
    <row r="9" spans="1:6">
      <c r="B9" s="11"/>
      <c r="C9" s="7" t="str">
        <f>Scores!C9</f>
        <v>A1-5</v>
      </c>
      <c r="D9" s="7">
        <f>Scores!G9</f>
        <v>0</v>
      </c>
      <c r="E9" s="7" t="e">
        <f>IF(D9&gt;0,D9+Scores!I9,NA())</f>
        <v>#N/A</v>
      </c>
      <c r="F9" s="7">
        <f>$F$5+Scores!I9</f>
        <v>87</v>
      </c>
    </row>
    <row r="10" spans="1:6">
      <c r="B10" s="11"/>
      <c r="C10" s="7" t="str">
        <f>Scores!C10</f>
        <v>A1-6</v>
      </c>
      <c r="D10" s="7">
        <f>Scores!G10</f>
        <v>0</v>
      </c>
      <c r="E10" s="7" t="e">
        <f>IF(D10&gt;0,D10+Scores!I10,NA())</f>
        <v>#N/A</v>
      </c>
      <c r="F10" s="7">
        <f>$F$5+Scores!I10</f>
        <v>92</v>
      </c>
    </row>
    <row r="11" spans="1:6">
      <c r="B11" s="11"/>
      <c r="C11" s="7" t="str">
        <f>Scores!C11</f>
        <v>A1-7</v>
      </c>
      <c r="D11" s="7">
        <f>Scores!G11</f>
        <v>0</v>
      </c>
      <c r="E11" s="7" t="e">
        <f>IF(D11&gt;0,D11+Scores!I11,NA())</f>
        <v>#N/A</v>
      </c>
      <c r="F11" s="7">
        <f>$F$5+Scores!I11</f>
        <v>97</v>
      </c>
    </row>
    <row r="12" spans="1:6">
      <c r="B12" s="12"/>
      <c r="C12" s="7" t="str">
        <f>Scores!C12</f>
        <v>A1-8</v>
      </c>
      <c r="D12" s="7">
        <f>Scores!G12</f>
        <v>0</v>
      </c>
      <c r="E12" s="7" t="e">
        <f>IF(D12&gt;0,D12+Scores!I12,NA())</f>
        <v>#N/A</v>
      </c>
      <c r="F12" s="7">
        <f>$F$5+Scores!I12</f>
        <v>102</v>
      </c>
    </row>
    <row r="13" spans="1:6">
      <c r="B13" s="10" t="s">
        <v>19</v>
      </c>
      <c r="C13" s="7" t="str">
        <f>Scores!C13</f>
        <v>A2-1</v>
      </c>
      <c r="D13" s="7">
        <f>Scores!G13</f>
        <v>0</v>
      </c>
      <c r="E13" s="7" t="e">
        <f>IF(D13&gt;0,D13+Scores!I13,NA())</f>
        <v>#N/A</v>
      </c>
      <c r="F13" s="7">
        <f>$F$5+Scores!I13</f>
        <v>107</v>
      </c>
    </row>
    <row r="14" spans="1:6">
      <c r="B14" s="11"/>
      <c r="C14" s="7" t="str">
        <f>Scores!C14</f>
        <v>A2-2</v>
      </c>
      <c r="D14" s="7">
        <f>Scores!G14</f>
        <v>0</v>
      </c>
      <c r="E14" s="7" t="e">
        <f>IF(D14&gt;0,D14+Scores!I14,NA())</f>
        <v>#N/A</v>
      </c>
      <c r="F14" s="7">
        <f>$F$5+Scores!I14</f>
        <v>112</v>
      </c>
    </row>
    <row r="15" spans="1:6">
      <c r="B15" s="11"/>
      <c r="C15" s="7" t="str">
        <f>Scores!C15</f>
        <v>A2-3</v>
      </c>
      <c r="D15" s="7">
        <f>Scores!G15</f>
        <v>0</v>
      </c>
      <c r="E15" s="7" t="e">
        <f>IF(D15&gt;0,D15+Scores!I15,NA())</f>
        <v>#N/A</v>
      </c>
      <c r="F15" s="7">
        <f>$F$5+Scores!I15</f>
        <v>117</v>
      </c>
    </row>
    <row r="16" spans="1:6">
      <c r="B16" s="11"/>
      <c r="C16" s="7" t="str">
        <f>Scores!C16</f>
        <v>A2-4</v>
      </c>
      <c r="D16" s="7">
        <f>Scores!G16</f>
        <v>0</v>
      </c>
      <c r="E16" s="7" t="e">
        <f>IF(D16&gt;0,D16+Scores!I16,NA())</f>
        <v>#N/A</v>
      </c>
      <c r="F16" s="7">
        <f>$F$5+Scores!I16</f>
        <v>122</v>
      </c>
    </row>
    <row r="17" spans="2:6">
      <c r="B17" s="11"/>
      <c r="C17" s="7" t="str">
        <f>Scores!C17</f>
        <v>A2-5</v>
      </c>
      <c r="D17" s="7">
        <f>Scores!G17</f>
        <v>0</v>
      </c>
      <c r="E17" s="7" t="e">
        <f>IF(D17&gt;0,D17+Scores!I17,NA())</f>
        <v>#N/A</v>
      </c>
      <c r="F17" s="7">
        <f>$F$5+Scores!I17</f>
        <v>127</v>
      </c>
    </row>
    <row r="18" spans="2:6">
      <c r="B18" s="11"/>
      <c r="C18" s="7" t="str">
        <f>Scores!C18</f>
        <v>A2-6</v>
      </c>
      <c r="D18" s="7">
        <f>Scores!G18</f>
        <v>0</v>
      </c>
      <c r="E18" s="7" t="e">
        <f>IF(D18&gt;0,D18+Scores!I18,NA())</f>
        <v>#N/A</v>
      </c>
      <c r="F18" s="7">
        <f>$F$5+Scores!I18</f>
        <v>132</v>
      </c>
    </row>
    <row r="19" spans="2:6">
      <c r="B19" s="11"/>
      <c r="C19" s="7" t="str">
        <f>Scores!C19</f>
        <v>A2-7</v>
      </c>
      <c r="D19" s="7">
        <f>Scores!G19</f>
        <v>0</v>
      </c>
      <c r="E19" s="7" t="e">
        <f>IF(D19&gt;0,D19+Scores!I19,NA())</f>
        <v>#N/A</v>
      </c>
      <c r="F19" s="7">
        <f>$F$5+Scores!I19</f>
        <v>137</v>
      </c>
    </row>
    <row r="20" spans="2:6">
      <c r="B20" s="12"/>
      <c r="C20" s="7" t="str">
        <f>Scores!C20</f>
        <v>A2-8</v>
      </c>
      <c r="D20" s="7">
        <f>Scores!G20</f>
        <v>0</v>
      </c>
      <c r="E20" s="7" t="e">
        <f>IF(D20&gt;0,D20+Scores!I20,NA())</f>
        <v>#N/A</v>
      </c>
      <c r="F20" s="7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/>
  <cols>
    <col min="1" max="1" width="9.140625" style="7"/>
    <col min="2" max="2" width="13.7109375" style="7" customWidth="1"/>
    <col min="3" max="3" width="9.140625" style="7"/>
    <col min="4" max="4" width="18" style="7" bestFit="1" customWidth="1"/>
    <col min="5" max="5" width="13.5703125" style="7" customWidth="1"/>
    <col min="6" max="6" width="15.42578125" style="7" customWidth="1"/>
    <col min="7" max="7" width="6.140625" style="7" customWidth="1"/>
    <col min="8" max="16384" width="9.140625" style="7"/>
  </cols>
  <sheetData>
    <row r="1" spans="1:6" ht="15.75">
      <c r="A1" s="17"/>
      <c r="B1" s="17"/>
      <c r="C1" s="17"/>
      <c r="D1" s="17"/>
    </row>
    <row r="2" spans="1:6">
      <c r="B2" s="7" t="s">
        <v>29</v>
      </c>
      <c r="C2" s="8" t="s">
        <v>5</v>
      </c>
    </row>
    <row r="4" spans="1:6" s="9" customFormat="1">
      <c r="B4" s="9" t="s">
        <v>6</v>
      </c>
      <c r="C4" s="9" t="s">
        <v>7</v>
      </c>
      <c r="D4" s="9" t="s">
        <v>30</v>
      </c>
      <c r="E4" s="9" t="s">
        <v>31</v>
      </c>
      <c r="F4" s="9" t="s">
        <v>32</v>
      </c>
    </row>
    <row r="5" spans="1:6">
      <c r="B5" s="10" t="s">
        <v>10</v>
      </c>
      <c r="C5" s="7" t="str">
        <f>Scores!C5</f>
        <v>A1-1</v>
      </c>
      <c r="D5" s="7">
        <f>Scores!H5</f>
        <v>0</v>
      </c>
      <c r="E5" s="7" t="e">
        <f>IF(D5&gt;0,D5+Scores!I5,NA())</f>
        <v>#N/A</v>
      </c>
      <c r="F5" s="7">
        <f>67+Scores!I5</f>
        <v>67</v>
      </c>
    </row>
    <row r="6" spans="1:6">
      <c r="B6" s="11"/>
      <c r="C6" s="7" t="str">
        <f>Scores!C6</f>
        <v>A1-2</v>
      </c>
      <c r="D6" s="7">
        <f>Scores!H6</f>
        <v>0</v>
      </c>
      <c r="E6" s="7" t="e">
        <f>IF(D6&gt;0,D6+Scores!I6,NA())</f>
        <v>#N/A</v>
      </c>
      <c r="F6" s="7">
        <f>$F$5+Scores!I6</f>
        <v>72</v>
      </c>
    </row>
    <row r="7" spans="1:6">
      <c r="B7" s="11"/>
      <c r="C7" s="7" t="str">
        <f>Scores!C7</f>
        <v>A1-3</v>
      </c>
      <c r="D7" s="7">
        <f>Scores!H7</f>
        <v>0</v>
      </c>
      <c r="E7" s="7" t="e">
        <f>IF(D7&gt;0,D7+Scores!I7,NA())</f>
        <v>#N/A</v>
      </c>
      <c r="F7" s="7">
        <f>$F$5+Scores!I7</f>
        <v>77</v>
      </c>
    </row>
    <row r="8" spans="1:6">
      <c r="B8" s="11"/>
      <c r="C8" s="7" t="str">
        <f>Scores!C8</f>
        <v>A1-4</v>
      </c>
      <c r="D8" s="7">
        <f>Scores!H8</f>
        <v>0</v>
      </c>
      <c r="E8" s="7" t="e">
        <f>IF(D8&gt;0,D8+Scores!I8,NA())</f>
        <v>#N/A</v>
      </c>
      <c r="F8" s="7">
        <f>$F$5+Scores!I8</f>
        <v>82</v>
      </c>
    </row>
    <row r="9" spans="1:6">
      <c r="B9" s="11"/>
      <c r="C9" s="7" t="str">
        <f>Scores!C9</f>
        <v>A1-5</v>
      </c>
      <c r="D9" s="7">
        <f>Scores!H9</f>
        <v>0</v>
      </c>
      <c r="E9" s="7" t="e">
        <f>IF(D9&gt;0,D9+Scores!I9,NA())</f>
        <v>#N/A</v>
      </c>
      <c r="F9" s="7">
        <f>$F$5+Scores!I9</f>
        <v>87</v>
      </c>
    </row>
    <row r="10" spans="1:6">
      <c r="B10" s="11"/>
      <c r="C10" s="7" t="str">
        <f>Scores!C10</f>
        <v>A1-6</v>
      </c>
      <c r="D10" s="7">
        <f>Scores!H10</f>
        <v>0</v>
      </c>
      <c r="E10" s="7" t="e">
        <f>IF(D10&gt;0,D10+Scores!I10,NA())</f>
        <v>#N/A</v>
      </c>
      <c r="F10" s="7">
        <f>$F$5+Scores!I10</f>
        <v>92</v>
      </c>
    </row>
    <row r="11" spans="1:6">
      <c r="B11" s="11"/>
      <c r="C11" s="7" t="str">
        <f>Scores!C11</f>
        <v>A1-7</v>
      </c>
      <c r="D11" s="7">
        <f>Scores!H11</f>
        <v>0</v>
      </c>
      <c r="E11" s="7" t="e">
        <f>IF(D11&gt;0,D11+Scores!I11,NA())</f>
        <v>#N/A</v>
      </c>
      <c r="F11" s="7">
        <f>$F$5+Scores!I11</f>
        <v>97</v>
      </c>
    </row>
    <row r="12" spans="1:6">
      <c r="B12" s="12"/>
      <c r="C12" s="7" t="str">
        <f>Scores!C12</f>
        <v>A1-8</v>
      </c>
      <c r="D12" s="7">
        <f>Scores!H12</f>
        <v>0</v>
      </c>
      <c r="E12" s="7" t="e">
        <f>IF(D12&gt;0,D12+Scores!I12,NA())</f>
        <v>#N/A</v>
      </c>
      <c r="F12" s="7">
        <f>$F$5+Scores!I12</f>
        <v>102</v>
      </c>
    </row>
    <row r="13" spans="1:6">
      <c r="B13" s="10" t="s">
        <v>19</v>
      </c>
      <c r="C13" s="7" t="str">
        <f>Scores!C13</f>
        <v>A2-1</v>
      </c>
      <c r="D13" s="7">
        <f>Scores!H13</f>
        <v>0</v>
      </c>
      <c r="E13" s="7" t="e">
        <f>IF(D13&gt;0,D13+Scores!I13,NA())</f>
        <v>#N/A</v>
      </c>
      <c r="F13" s="7">
        <f>$F$5+Scores!I13</f>
        <v>107</v>
      </c>
    </row>
    <row r="14" spans="1:6">
      <c r="B14" s="11"/>
      <c r="C14" s="7" t="str">
        <f>Scores!C14</f>
        <v>A2-2</v>
      </c>
      <c r="D14" s="7">
        <f>Scores!H14</f>
        <v>0</v>
      </c>
      <c r="E14" s="7" t="e">
        <f>IF(D14&gt;0,D14+Scores!I14,NA())</f>
        <v>#N/A</v>
      </c>
      <c r="F14" s="7">
        <f>$F$5+Scores!I14</f>
        <v>112</v>
      </c>
    </row>
    <row r="15" spans="1:6">
      <c r="B15" s="11"/>
      <c r="C15" s="7" t="str">
        <f>Scores!C15</f>
        <v>A2-3</v>
      </c>
      <c r="D15" s="7">
        <f>Scores!H15</f>
        <v>0</v>
      </c>
      <c r="E15" s="7" t="e">
        <f>IF(D15&gt;0,D15+Scores!I15,NA())</f>
        <v>#N/A</v>
      </c>
      <c r="F15" s="7">
        <f>$F$5+Scores!I15</f>
        <v>117</v>
      </c>
    </row>
    <row r="16" spans="1:6">
      <c r="B16" s="11"/>
      <c r="C16" s="7" t="str">
        <f>Scores!C16</f>
        <v>A2-4</v>
      </c>
      <c r="D16" s="7">
        <f>Scores!H16</f>
        <v>0</v>
      </c>
      <c r="E16" s="7" t="e">
        <f>IF(D16&gt;0,D16+Scores!I16,NA())</f>
        <v>#N/A</v>
      </c>
      <c r="F16" s="7">
        <f>$F$5+Scores!I16</f>
        <v>122</v>
      </c>
    </row>
    <row r="17" spans="2:6">
      <c r="B17" s="11"/>
      <c r="C17" s="7" t="str">
        <f>Scores!C17</f>
        <v>A2-5</v>
      </c>
      <c r="D17" s="7">
        <f>Scores!H17</f>
        <v>0</v>
      </c>
      <c r="E17" s="7" t="e">
        <f>IF(D17&gt;0,D17+Scores!I17,NA())</f>
        <v>#N/A</v>
      </c>
      <c r="F17" s="7">
        <f>$F$5+Scores!I17</f>
        <v>127</v>
      </c>
    </row>
    <row r="18" spans="2:6">
      <c r="B18" s="11"/>
      <c r="C18" s="7" t="str">
        <f>Scores!C18</f>
        <v>A2-6</v>
      </c>
      <c r="D18" s="7">
        <f>Scores!H18</f>
        <v>0</v>
      </c>
      <c r="E18" s="7" t="e">
        <f>IF(D18&gt;0,D18+Scores!I18,NA())</f>
        <v>#N/A</v>
      </c>
      <c r="F18" s="7">
        <f>$F$5+Scores!I18</f>
        <v>132</v>
      </c>
    </row>
    <row r="19" spans="2:6">
      <c r="B19" s="11"/>
      <c r="C19" s="7" t="str">
        <f>Scores!C19</f>
        <v>A2-7</v>
      </c>
      <c r="D19" s="7">
        <f>Scores!H19</f>
        <v>0</v>
      </c>
      <c r="E19" s="7" t="e">
        <f>IF(D19&gt;0,D19+Scores!I19,NA())</f>
        <v>#N/A</v>
      </c>
      <c r="F19" s="7">
        <f>$F$5+Scores!I19</f>
        <v>137</v>
      </c>
    </row>
    <row r="20" spans="2:6">
      <c r="B20" s="12"/>
      <c r="C20" s="7" t="str">
        <f>Scores!C20</f>
        <v>A2-8</v>
      </c>
      <c r="D20" s="7">
        <f>Scores!H20</f>
        <v>0</v>
      </c>
      <c r="E20" s="7" t="e">
        <f>IF(D20&gt;0,D20+Scores!I20,NA())</f>
        <v>#N/A</v>
      </c>
      <c r="F20" s="7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Jacqueline</dc:creator>
  <cp:keywords/>
  <dc:description/>
  <cp:lastModifiedBy>Jacqueline</cp:lastModifiedBy>
  <cp:revision/>
  <dcterms:created xsi:type="dcterms:W3CDTF">2018-12-26T12:47:42Z</dcterms:created>
  <dcterms:modified xsi:type="dcterms:W3CDTF">2022-07-12T10:21:29Z</dcterms:modified>
  <cp:category/>
  <cp:contentStatus/>
</cp:coreProperties>
</file>